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escobar/Desktop/EIA/Semestre 4_2026-1/Electrónica/Laboratorio 2/"/>
    </mc:Choice>
  </mc:AlternateContent>
  <xr:revisionPtr revIDLastSave="0" documentId="13_ncr:1_{3BDEF2A5-8162-F44E-92F3-B47D7B52D3EA}" xr6:coauthVersionLast="47" xr6:coauthVersionMax="47" xr10:uidLastSave="{00000000-0000-0000-0000-000000000000}"/>
  <bookViews>
    <workbookView xWindow="38440" yWindow="2940" windowWidth="27640" windowHeight="16680" xr2:uid="{6960F901-121D-2B4C-B177-E793B81E3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E14" i="1" s="1"/>
  <c r="D13" i="1"/>
  <c r="D12" i="1"/>
  <c r="E12" i="1" s="1"/>
  <c r="D11" i="1"/>
  <c r="E11" i="1" s="1"/>
  <c r="D10" i="1"/>
  <c r="E10" i="1" s="1"/>
  <c r="D9" i="1"/>
  <c r="D8" i="1"/>
  <c r="E8" i="1" s="1"/>
  <c r="E15" i="1"/>
  <c r="D7" i="1"/>
  <c r="E9" i="1"/>
  <c r="E13" i="1"/>
  <c r="E16" i="1"/>
  <c r="E7" i="1"/>
</calcChain>
</file>

<file path=xl/sharedStrings.xml><?xml version="1.0" encoding="utf-8"?>
<sst xmlns="http://schemas.openxmlformats.org/spreadsheetml/2006/main" count="3" uniqueCount="3">
  <si>
    <t>Rload (Ohm)</t>
  </si>
  <si>
    <t>Pload (Watts)</t>
  </si>
  <si>
    <t>I load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</si>
</sst>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Pload</a:t>
            </a:r>
            <a:r>
              <a:rPr lang="en-US" baseline="0"/>
              <a:t> vs Rload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Sheet1!$E$5</c:f>
              <c:strCache>
                <c:ptCount val="1"/>
                <c:pt idx="0">
                  <c:v>Pload (Watts)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Sheet1!$C$6:$C$16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220</c:v>
                </c:pt>
                <c:pt idx="3">
                  <c:v>330</c:v>
                </c:pt>
                <c:pt idx="4">
                  <c:v>461</c:v>
                </c:pt>
                <c:pt idx="5">
                  <c:v>510</c:v>
                </c:pt>
                <c:pt idx="6">
                  <c:v>610</c:v>
                </c:pt>
                <c:pt idx="7">
                  <c:v>721</c:v>
                </c:pt>
                <c:pt idx="8">
                  <c:v>834</c:v>
                </c:pt>
                <c:pt idx="9">
                  <c:v>990</c:v>
                </c:pt>
                <c:pt idx="10">
                  <c:v>1500</c:v>
                </c:pt>
              </c:numCache>
            </c:numRef>
          </c:xVal>
          <c:yVal>
            <c:numRef>
              <c:f>Sheet1!$E$6:$E$16</c:f>
              <c:numCache>
                <c:formatCode>General</c:formatCode>
                <c:ptCount val="11"/>
                <c:pt idx="0">
                  <c:v>0</c:v>
                </c:pt>
                <c:pt idx="1">
                  <c:v>1.1664000000000001E-2</c:v>
                </c:pt>
                <c:pt idx="2">
                  <c:v>1.8539927999999997E-2</c:v>
                </c:pt>
                <c:pt idx="3">
                  <c:v>1.9923057000000001E-2</c:v>
                </c:pt>
                <c:pt idx="4">
                  <c:v>2.1128966900000001E-2</c:v>
                </c:pt>
                <c:pt idx="5">
                  <c:v>2.3374778999999998E-2</c:v>
                </c:pt>
                <c:pt idx="6">
                  <c:v>2.2401395999999997E-2</c:v>
                </c:pt>
                <c:pt idx="7">
                  <c:v>2.18896321E-2</c:v>
                </c:pt>
                <c:pt idx="8">
                  <c:v>2.1269085E-2</c:v>
                </c:pt>
                <c:pt idx="9">
                  <c:v>2.0315691E-2</c:v>
                </c:pt>
                <c:pt idx="10">
                  <c:v>1.7339999999999998E-2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16-7A46-A4E8-93100A92E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153536"/>
        <c:axId val="1142150848"/>
      </c:scatterChart>
      <c:valAx>
        <c:axId val="114215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Resistencia (Ohm)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142150848"/>
        <c:crosses val="autoZero"/>
        <c:crossBetween val="midCat"/>
      </c:valAx>
      <c:valAx>
        <c:axId val="11421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Potencia (Watts)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14215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1</xdr:row>
      <xdr:rowOff>152400</xdr:rowOff>
    </xdr:from>
    <xdr:to>
      <xdr:col>14</xdr:col>
      <xdr:colOff>63500</xdr:colOff>
      <xdr:row>25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CAB679-001E-4BD3-C47B-B23642990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63469B-395F-9147-8EB2-88D474E3B851}" name="Table1" displayName="Table1" ref="C5:E16" totalsRowShown="0">
  <autoFilter ref="C5:E16" xr:uid="{CB63469B-395F-9147-8EB2-88D474E3B851}"/>
  <tableColumns count="3">
    <tableColumn id="1" xr3:uid="{FE06F26A-3780-3147-9C9B-A26BDC280B48}" name="Rload (Ohm)"/>
    <tableColumn id="2" xr3:uid="{21140F17-3B00-3649-AD42-09F338A1F32E}" name="I load (A)"/>
    <tableColumn id="3" xr3:uid="{187054C1-435E-7641-B173-677E8933FB6D}" name="Pload (Watts)">
      <calculatedColumnFormula>D6^2 * C6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F61E-5C77-5047-91C7-6CB54B50C589}">
  <dimension ref="C5:E16"/>
  <sheetViews>
    <sheetView tabSelected="1" workbookViewId="0">
      <selection activeCell="D5" sqref="D5"/>
    </sheetView>
  </sheetViews>
  <sheetFormatPr baseColWidth="10" defaultRowHeight="16" x14ac:dyDescent="0.2"/>
  <cols>
    <col min="3" max="3" width="22" customWidth="1"/>
    <col min="5" max="5" width="15" customWidth="1"/>
  </cols>
  <sheetData>
    <row r="5" spans="3:5" x14ac:dyDescent="0.2">
      <c r="C5" t="s">
        <v>0</v>
      </c>
      <c r="D5" t="s">
        <v>2</v>
      </c>
      <c r="E5" t="s">
        <v>1</v>
      </c>
    </row>
    <row r="6" spans="3:5" x14ac:dyDescent="0.2">
      <c r="C6">
        <v>0</v>
      </c>
      <c r="D6">
        <v>0</v>
      </c>
      <c r="E6">
        <v>0</v>
      </c>
    </row>
    <row r="7" spans="3:5" x14ac:dyDescent="0.2">
      <c r="C7">
        <v>100</v>
      </c>
      <c r="D7">
        <f>10.8/1000</f>
        <v>1.0800000000000001E-2</v>
      </c>
      <c r="E7">
        <f>D7^2 * C7</f>
        <v>1.1664000000000001E-2</v>
      </c>
    </row>
    <row r="8" spans="3:5" x14ac:dyDescent="0.2">
      <c r="C8">
        <v>220</v>
      </c>
      <c r="D8">
        <f>9.18/1000</f>
        <v>9.1799999999999989E-3</v>
      </c>
      <c r="E8">
        <f t="shared" ref="E8:E16" si="0">D8^2 * C8</f>
        <v>1.8539927999999997E-2</v>
      </c>
    </row>
    <row r="9" spans="3:5" x14ac:dyDescent="0.2">
      <c r="C9">
        <v>330</v>
      </c>
      <c r="D9">
        <f>7.77/1000</f>
        <v>7.77E-3</v>
      </c>
      <c r="E9">
        <f t="shared" si="0"/>
        <v>1.9923057000000001E-2</v>
      </c>
    </row>
    <row r="10" spans="3:5" x14ac:dyDescent="0.2">
      <c r="C10">
        <v>461</v>
      </c>
      <c r="D10">
        <f>6.77/1000</f>
        <v>6.77E-3</v>
      </c>
      <c r="E10">
        <f t="shared" si="0"/>
        <v>2.1128966900000001E-2</v>
      </c>
    </row>
    <row r="11" spans="3:5" x14ac:dyDescent="0.2">
      <c r="C11">
        <v>510</v>
      </c>
      <c r="D11">
        <f>6.77/1000</f>
        <v>6.77E-3</v>
      </c>
      <c r="E11">
        <f t="shared" si="0"/>
        <v>2.3374778999999998E-2</v>
      </c>
    </row>
    <row r="12" spans="3:5" x14ac:dyDescent="0.2">
      <c r="C12">
        <v>610</v>
      </c>
      <c r="D12">
        <f>6.06/1000</f>
        <v>6.0599999999999994E-3</v>
      </c>
      <c r="E12">
        <f t="shared" si="0"/>
        <v>2.2401395999999997E-2</v>
      </c>
    </row>
    <row r="13" spans="3:5" x14ac:dyDescent="0.2">
      <c r="C13">
        <v>721</v>
      </c>
      <c r="D13">
        <f>5.51/1000</f>
        <v>5.5100000000000001E-3</v>
      </c>
      <c r="E13">
        <f t="shared" si="0"/>
        <v>2.18896321E-2</v>
      </c>
    </row>
    <row r="14" spans="3:5" x14ac:dyDescent="0.2">
      <c r="C14">
        <v>834</v>
      </c>
      <c r="D14">
        <f>5.05/1000</f>
        <v>5.0499999999999998E-3</v>
      </c>
      <c r="E14">
        <f t="shared" si="0"/>
        <v>2.1269085E-2</v>
      </c>
    </row>
    <row r="15" spans="3:5" x14ac:dyDescent="0.2">
      <c r="C15">
        <v>990</v>
      </c>
      <c r="D15">
        <f>4.53/1000</f>
        <v>4.5300000000000002E-3</v>
      </c>
      <c r="E15">
        <f t="shared" si="0"/>
        <v>2.0315691E-2</v>
      </c>
    </row>
    <row r="16" spans="3:5" x14ac:dyDescent="0.2">
      <c r="C16">
        <v>1500</v>
      </c>
      <c r="D16">
        <f>3.4/1000</f>
        <v>3.3999999999999998E-3</v>
      </c>
      <c r="E16">
        <f t="shared" si="0"/>
        <v>1.7339999999999998E-2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Escobar Jurado</dc:creator>
  <cp:lastModifiedBy>Mateo Escobar Jurado</cp:lastModifiedBy>
  <dcterms:created xsi:type="dcterms:W3CDTF">2026-02-15T01:02:46Z</dcterms:created>
  <dcterms:modified xsi:type="dcterms:W3CDTF">2026-02-15T17:02:43Z</dcterms:modified>
</cp:coreProperties>
</file>