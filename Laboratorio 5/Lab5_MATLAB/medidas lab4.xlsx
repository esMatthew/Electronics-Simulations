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escobar/Documents/MATLAB/Electrónica/Lab5/"/>
    </mc:Choice>
  </mc:AlternateContent>
  <xr:revisionPtr revIDLastSave="0" documentId="13_ncr:1_{D9A42E3B-BE43-1149-AD73-64B642171AA7}" xr6:coauthVersionLast="47" xr6:coauthVersionMax="47" xr10:uidLastSave="{00000000-0000-0000-0000-000000000000}"/>
  <bookViews>
    <workbookView xWindow="0" yWindow="780" windowWidth="34200" windowHeight="20740" xr2:uid="{E6C90AF2-2480-451F-9C2C-64A3E7F2BEB1}"/>
  </bookViews>
  <sheets>
    <sheet name="Hoja1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P19" i="1"/>
  <c r="P18" i="1"/>
  <c r="P17" i="1"/>
  <c r="P14" i="1"/>
  <c r="P13" i="1"/>
  <c r="P12" i="1"/>
  <c r="P11" i="1"/>
  <c r="P10" i="1"/>
  <c r="P9" i="1"/>
  <c r="P8" i="1"/>
  <c r="P7" i="1"/>
  <c r="P6" i="1"/>
  <c r="P5" i="1"/>
  <c r="P16" i="1"/>
  <c r="P15" i="1"/>
  <c r="L20" i="1"/>
  <c r="L19" i="1"/>
  <c r="L17" i="1"/>
  <c r="L18" i="1"/>
  <c r="L16" i="1"/>
  <c r="L15" i="1"/>
  <c r="L14" i="1"/>
  <c r="L13" i="1"/>
  <c r="L12" i="1"/>
  <c r="L11" i="1"/>
  <c r="L10" i="1"/>
  <c r="L9" i="1"/>
  <c r="L6" i="1"/>
  <c r="L7" i="1"/>
  <c r="L8" i="1"/>
  <c r="L5" i="1"/>
  <c r="E20" i="1"/>
  <c r="E19" i="1"/>
  <c r="E18" i="1"/>
  <c r="E17" i="1"/>
  <c r="E16" i="1"/>
  <c r="E14" i="1"/>
</calcChain>
</file>

<file path=xl/sharedStrings.xml><?xml version="1.0" encoding="utf-8"?>
<sst xmlns="http://schemas.openxmlformats.org/spreadsheetml/2006/main" count="16" uniqueCount="10">
  <si>
    <t>pasa bajas</t>
  </si>
  <si>
    <t>Vp vamp</t>
  </si>
  <si>
    <t>frecuencia hz</t>
  </si>
  <si>
    <t>pasa altas</t>
  </si>
  <si>
    <t>resistencia usada</t>
  </si>
  <si>
    <t>pasa bandas</t>
  </si>
  <si>
    <t xml:space="preserve">resistencia </t>
  </si>
  <si>
    <t>prechaza bandas</t>
  </si>
  <si>
    <t>Pasa Altas</t>
  </si>
  <si>
    <t>Pasa Bandas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</si>
</sst>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8FEF-8D79-4932-A2C6-B026B9E31FD1}">
  <dimension ref="D3:P20"/>
  <sheetViews>
    <sheetView tabSelected="1" workbookViewId="0">
      <selection activeCell="K3" sqref="K3:P20"/>
    </sheetView>
  </sheetViews>
  <sheetFormatPr baseColWidth="10" defaultRowHeight="15" x14ac:dyDescent="0.2"/>
  <cols>
    <col min="8" max="8" width="14.1640625" customWidth="1"/>
  </cols>
  <sheetData>
    <row r="3" spans="4:16" x14ac:dyDescent="0.2">
      <c r="D3" s="1" t="s">
        <v>0</v>
      </c>
      <c r="E3" s="1"/>
      <c r="H3" s="1" t="s">
        <v>3</v>
      </c>
      <c r="I3" s="1"/>
      <c r="K3" s="1" t="s">
        <v>5</v>
      </c>
      <c r="L3" s="1"/>
      <c r="O3" s="1" t="s">
        <v>7</v>
      </c>
      <c r="P3" s="1"/>
    </row>
    <row r="4" spans="4:16" x14ac:dyDescent="0.2">
      <c r="D4" s="1" t="s">
        <v>2</v>
      </c>
      <c r="E4" s="1" t="s">
        <v>1</v>
      </c>
      <c r="H4" s="1" t="s">
        <v>2</v>
      </c>
      <c r="I4" s="1" t="s">
        <v>1</v>
      </c>
      <c r="K4" s="1" t="s">
        <v>2</v>
      </c>
      <c r="L4" s="1" t="s">
        <v>1</v>
      </c>
      <c r="O4" s="1" t="s">
        <v>2</v>
      </c>
      <c r="P4" s="1" t="s">
        <v>1</v>
      </c>
    </row>
    <row r="5" spans="4:16" x14ac:dyDescent="0.2">
      <c r="D5" s="1">
        <v>0.1</v>
      </c>
      <c r="E5" s="1">
        <v>5.3</v>
      </c>
      <c r="H5" s="2">
        <v>0.1</v>
      </c>
      <c r="I5" s="2">
        <v>0.4</v>
      </c>
      <c r="K5" s="1">
        <v>0.1</v>
      </c>
      <c r="L5" s="1">
        <f>800/(1000*2)</f>
        <v>0.4</v>
      </c>
      <c r="O5" s="1">
        <v>0.1</v>
      </c>
      <c r="P5" s="1">
        <f>10.6/2</f>
        <v>5.3</v>
      </c>
    </row>
    <row r="6" spans="4:16" x14ac:dyDescent="0.2">
      <c r="D6" s="1">
        <v>0.2</v>
      </c>
      <c r="E6" s="1">
        <v>5.3</v>
      </c>
      <c r="H6" s="2">
        <v>0.2</v>
      </c>
      <c r="I6" s="2">
        <v>0.4</v>
      </c>
      <c r="K6" s="1">
        <v>0.2</v>
      </c>
      <c r="L6" s="1">
        <f t="shared" ref="L6:L9" si="0">800/(1000*2)</f>
        <v>0.4</v>
      </c>
      <c r="O6" s="1">
        <v>0.2</v>
      </c>
      <c r="P6" s="1">
        <f>10.6/2</f>
        <v>5.3</v>
      </c>
    </row>
    <row r="7" spans="4:16" x14ac:dyDescent="0.2">
      <c r="D7" s="1">
        <v>0.5</v>
      </c>
      <c r="E7" s="1">
        <v>5.3</v>
      </c>
      <c r="H7" s="2">
        <v>0.5</v>
      </c>
      <c r="I7" s="2">
        <v>0.5</v>
      </c>
      <c r="K7" s="1">
        <v>0.5</v>
      </c>
      <c r="L7" s="1">
        <f t="shared" si="0"/>
        <v>0.4</v>
      </c>
      <c r="O7" s="1">
        <v>0.5</v>
      </c>
      <c r="P7" s="1">
        <f>10.6/2</f>
        <v>5.3</v>
      </c>
    </row>
    <row r="8" spans="4:16" x14ac:dyDescent="0.2">
      <c r="D8" s="1">
        <v>1</v>
      </c>
      <c r="E8" s="1">
        <v>5.3</v>
      </c>
      <c r="H8" s="2">
        <v>1</v>
      </c>
      <c r="I8" s="2">
        <v>0.5</v>
      </c>
      <c r="K8" s="1">
        <v>1</v>
      </c>
      <c r="L8" s="1">
        <f t="shared" si="0"/>
        <v>0.4</v>
      </c>
      <c r="O8" s="1">
        <v>1</v>
      </c>
      <c r="P8" s="1">
        <f>10.1/2</f>
        <v>5.05</v>
      </c>
    </row>
    <row r="9" spans="4:16" x14ac:dyDescent="0.2">
      <c r="D9" s="1">
        <v>2</v>
      </c>
      <c r="E9" s="1">
        <v>5.3</v>
      </c>
      <c r="H9" s="2">
        <v>2</v>
      </c>
      <c r="I9" s="2">
        <v>0.5</v>
      </c>
      <c r="K9" s="1">
        <v>2</v>
      </c>
      <c r="L9" s="1">
        <f t="shared" si="0"/>
        <v>0.4</v>
      </c>
      <c r="O9" s="1">
        <v>2</v>
      </c>
      <c r="P9" s="1">
        <f>9.8/2</f>
        <v>4.9000000000000004</v>
      </c>
    </row>
    <row r="10" spans="4:16" x14ac:dyDescent="0.2">
      <c r="D10" s="1">
        <v>5</v>
      </c>
      <c r="E10" s="1">
        <v>5.3</v>
      </c>
      <c r="H10" s="2">
        <v>5</v>
      </c>
      <c r="I10" s="2">
        <v>0.6</v>
      </c>
      <c r="K10" s="1">
        <v>5</v>
      </c>
      <c r="L10" s="1">
        <f>1.2/2</f>
        <v>0.6</v>
      </c>
      <c r="O10" s="1">
        <v>5</v>
      </c>
      <c r="P10" s="1">
        <f>7.8/2</f>
        <v>3.9</v>
      </c>
    </row>
    <row r="11" spans="4:16" x14ac:dyDescent="0.2">
      <c r="D11" s="1">
        <v>10</v>
      </c>
      <c r="E11" s="1">
        <v>5.3</v>
      </c>
      <c r="H11" s="2">
        <v>10</v>
      </c>
      <c r="I11" s="2">
        <v>0.8</v>
      </c>
      <c r="K11" s="1">
        <v>10</v>
      </c>
      <c r="L11" s="1">
        <f>2.2/2</f>
        <v>1.1000000000000001</v>
      </c>
      <c r="O11" s="1">
        <v>10</v>
      </c>
      <c r="P11" s="1">
        <f>5.6/2</f>
        <v>2.8</v>
      </c>
    </row>
    <row r="12" spans="4:16" x14ac:dyDescent="0.2">
      <c r="D12" s="1">
        <v>20</v>
      </c>
      <c r="E12" s="1">
        <v>5.3</v>
      </c>
      <c r="H12" s="2">
        <v>20</v>
      </c>
      <c r="I12" s="2">
        <v>1.2949999999999999</v>
      </c>
      <c r="K12" s="1">
        <v>20</v>
      </c>
      <c r="L12" s="1">
        <f>2.8/2</f>
        <v>1.4</v>
      </c>
      <c r="O12" s="1">
        <v>20</v>
      </c>
      <c r="P12" s="1">
        <f>3.5/2</f>
        <v>1.75</v>
      </c>
    </row>
    <row r="13" spans="4:16" x14ac:dyDescent="0.2">
      <c r="D13" s="1">
        <v>50</v>
      </c>
      <c r="E13" s="1">
        <v>5.3</v>
      </c>
      <c r="H13" s="2">
        <v>50</v>
      </c>
      <c r="I13" s="2">
        <v>2.5950000000000002</v>
      </c>
      <c r="K13" s="1">
        <v>50</v>
      </c>
      <c r="L13" s="1">
        <f>2.8/2</f>
        <v>1.4</v>
      </c>
      <c r="O13" s="1">
        <v>50</v>
      </c>
      <c r="P13" s="1">
        <f>2.8/2</f>
        <v>1.4</v>
      </c>
    </row>
    <row r="14" spans="4:16" x14ac:dyDescent="0.2">
      <c r="D14" s="1">
        <v>100</v>
      </c>
      <c r="E14" s="1">
        <f>10.1/2</f>
        <v>5.05</v>
      </c>
      <c r="H14" s="2">
        <v>100</v>
      </c>
      <c r="I14" s="2">
        <v>3.9</v>
      </c>
      <c r="K14" s="1">
        <v>100</v>
      </c>
      <c r="L14" s="1">
        <f>2.8/2</f>
        <v>1.4</v>
      </c>
      <c r="O14" s="1">
        <v>100</v>
      </c>
      <c r="P14" s="1">
        <f>2.8/2</f>
        <v>1.4</v>
      </c>
    </row>
    <row r="15" spans="4:16" x14ac:dyDescent="0.2">
      <c r="D15" s="1">
        <v>200</v>
      </c>
      <c r="E15" s="1">
        <v>5.05</v>
      </c>
      <c r="H15" s="2">
        <v>200</v>
      </c>
      <c r="I15" s="2">
        <v>4.8</v>
      </c>
      <c r="K15" s="1">
        <v>200</v>
      </c>
      <c r="L15" s="1">
        <f>2.8/2</f>
        <v>1.4</v>
      </c>
      <c r="O15" s="1">
        <v>200</v>
      </c>
      <c r="P15" s="1">
        <f>2.8/2</f>
        <v>1.4</v>
      </c>
    </row>
    <row r="16" spans="4:16" x14ac:dyDescent="0.2">
      <c r="D16" s="1">
        <v>500</v>
      </c>
      <c r="E16" s="1">
        <f>9.19/2</f>
        <v>4.5949999999999998</v>
      </c>
      <c r="H16" s="2">
        <v>500</v>
      </c>
      <c r="I16" s="2">
        <v>5.05</v>
      </c>
      <c r="K16" s="1">
        <v>500</v>
      </c>
      <c r="L16" s="1">
        <f>2.8/2</f>
        <v>1.4</v>
      </c>
      <c r="O16" s="1">
        <v>500</v>
      </c>
      <c r="P16" s="1">
        <f>2.8/2</f>
        <v>1.4</v>
      </c>
    </row>
    <row r="17" spans="4:16" x14ac:dyDescent="0.2">
      <c r="D17" s="1">
        <v>1000</v>
      </c>
      <c r="E17" s="1">
        <f>7.19/2</f>
        <v>3.5950000000000002</v>
      </c>
      <c r="H17" s="2">
        <v>1000</v>
      </c>
      <c r="I17" s="2">
        <v>5.3</v>
      </c>
      <c r="K17" s="1">
        <v>1000</v>
      </c>
      <c r="L17" s="1">
        <f t="shared" ref="L17:L18" si="1">2.8/2</f>
        <v>1.4</v>
      </c>
      <c r="O17" s="1">
        <v>1000</v>
      </c>
      <c r="P17" s="1">
        <f>2.8/2</f>
        <v>1.4</v>
      </c>
    </row>
    <row r="18" spans="4:16" x14ac:dyDescent="0.2">
      <c r="D18" s="1">
        <v>2000</v>
      </c>
      <c r="E18" s="1">
        <f>4.8/2</f>
        <v>2.4</v>
      </c>
      <c r="H18" s="2">
        <v>2000</v>
      </c>
      <c r="I18" s="2">
        <v>5.3</v>
      </c>
      <c r="K18" s="1">
        <v>2000</v>
      </c>
      <c r="L18" s="1">
        <f t="shared" si="1"/>
        <v>1.4</v>
      </c>
      <c r="O18" s="1">
        <v>2000</v>
      </c>
      <c r="P18" s="1">
        <f>3/2</f>
        <v>1.5</v>
      </c>
    </row>
    <row r="19" spans="4:16" x14ac:dyDescent="0.2">
      <c r="D19" s="1">
        <v>5000</v>
      </c>
      <c r="E19" s="1">
        <f>2.2/2</f>
        <v>1.1000000000000001</v>
      </c>
      <c r="H19" s="2">
        <v>5000</v>
      </c>
      <c r="I19" s="2">
        <v>5.3</v>
      </c>
      <c r="K19" s="1">
        <v>5000</v>
      </c>
      <c r="L19" s="1">
        <f>2.5/2</f>
        <v>1.25</v>
      </c>
      <c r="O19" s="1">
        <v>5000</v>
      </c>
      <c r="P19" s="1">
        <f>4/2</f>
        <v>2</v>
      </c>
    </row>
    <row r="20" spans="4:16" x14ac:dyDescent="0.2">
      <c r="D20" s="1">
        <v>10000</v>
      </c>
      <c r="E20" s="1">
        <f>1.39/2</f>
        <v>0.69499999999999995</v>
      </c>
      <c r="H20" s="2">
        <v>10000</v>
      </c>
      <c r="I20" s="2">
        <v>5.3</v>
      </c>
      <c r="K20" s="1">
        <v>10000</v>
      </c>
      <c r="L20" s="1">
        <f>2.2/2</f>
        <v>1.1000000000000001</v>
      </c>
      <c r="O20" s="1">
        <v>10000</v>
      </c>
      <c r="P20" s="1">
        <f>5.6/2</f>
        <v>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6FB3-8311-EB49-A0D6-0A1AA202EE74}">
  <dimension ref="C7:G8"/>
  <sheetViews>
    <sheetView workbookViewId="0">
      <selection activeCell="I17" sqref="I17"/>
    </sheetView>
  </sheetViews>
  <sheetFormatPr baseColWidth="10" defaultRowHeight="15" x14ac:dyDescent="0.2"/>
  <sheetData>
    <row r="7" spans="3:7" x14ac:dyDescent="0.2">
      <c r="C7" t="s">
        <v>8</v>
      </c>
      <c r="F7" t="s">
        <v>9</v>
      </c>
    </row>
    <row r="8" spans="3:7" x14ac:dyDescent="0.2">
      <c r="C8" t="s">
        <v>4</v>
      </c>
      <c r="D8">
        <v>16150</v>
      </c>
      <c r="F8" t="s">
        <v>6</v>
      </c>
      <c r="G8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saldarriaga arias</dc:creator>
  <cp:lastModifiedBy>Mateo Escobar Jurado</cp:lastModifiedBy>
  <dcterms:created xsi:type="dcterms:W3CDTF">2026-04-10T15:09:41Z</dcterms:created>
  <dcterms:modified xsi:type="dcterms:W3CDTF">2026-04-18T13:13:23Z</dcterms:modified>
</cp:coreProperties>
</file>